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vnish_kumar\Downloads\"/>
    </mc:Choice>
  </mc:AlternateContent>
  <xr:revisionPtr revIDLastSave="0" documentId="13_ncr:1_{507C6587-CE66-472B-849C-9DE655CD3245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8" l="1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D24" i="20"/>
  <c r="D25" i="20"/>
  <c r="D26" i="20"/>
  <c r="D27" i="20"/>
  <c r="D28" i="20"/>
  <c r="D29" i="20"/>
  <c r="D30" i="20"/>
  <c r="D31" i="20"/>
  <c r="D32" i="20"/>
  <c r="D33" i="20"/>
  <c r="D34" i="20"/>
  <c r="D35" i="20"/>
  <c r="D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23" i="20"/>
  <c r="K11" i="20"/>
  <c r="K12" i="20"/>
  <c r="K13" i="20"/>
  <c r="K14" i="20"/>
  <c r="K15" i="20"/>
  <c r="K16" i="20"/>
  <c r="K17" i="20"/>
  <c r="K18" i="20"/>
  <c r="K10" i="20"/>
  <c r="D22" i="19" l="1"/>
  <c r="D13" i="19"/>
  <c r="D14" i="19"/>
  <c r="D15" i="19"/>
  <c r="D16" i="19"/>
  <c r="D17" i="19"/>
  <c r="D18" i="19"/>
  <c r="D19" i="19"/>
  <c r="D20" i="19"/>
  <c r="D21" i="19"/>
  <c r="D1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D5" i="15"/>
</calcChain>
</file>

<file path=xl/sharedStrings.xml><?xml version="1.0" encoding="utf-8"?>
<sst xmlns="http://schemas.openxmlformats.org/spreadsheetml/2006/main" count="327" uniqueCount="181">
  <si>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</si>
  <si>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</si>
  <si>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</si>
  <si>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</si>
  <si>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</si>
  <si>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</si>
  <si>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</si>
  <si>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</si>
  <si>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</si>
  <si>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</si>
  <si>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</si>
  <si>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</si>
  <si>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</si>
  <si>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</si>
  <si>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</si>
  <si>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</si>
  <si>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</si>
  <si>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</si>
  <si>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</si>
  <si>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</si>
  <si>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</si>
  <si>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</si>
  <si>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</si>
  <si>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</si>
  <si>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</si>
  <si>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</si>
  <si>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</si>
  <si>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</si>
  <si>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</si>
  <si>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</si>
  <si>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</si>
  <si>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</si>
  <si>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</si>
  <si>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</si>
  <si>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</si>
  <si>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</si>
  <si>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</si>
  <si>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</si>
  <si>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</si>
  <si>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</si>
  <si>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</si>
  <si>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</si>
  <si>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</si>
  <si>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</si>
  <si>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</si>
  <si>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</si>
  <si>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</si>
  <si>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</si>
  <si>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</si>
  <si>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</si>
  <si>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</si>
  <si>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</si>
  <si>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</si>
  <si>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</si>
  <si>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</si>
  <si>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</si>
  <si>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</si>
  <si>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</si>
  <si>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</si>
  <si>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</si>
  <si>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</si>
  <si>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</si>
  <si>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</si>
  <si>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</si>
  <si>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</si>
  <si>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</si>
  <si>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</si>
  <si>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</si>
  <si>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</si>
  <si>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</si>
  <si>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</si>
  <si>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</si>
  <si>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</si>
  <si>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</si>
  <si>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</si>
  <si>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</si>
  <si>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</si>
  <si>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</si>
  <si>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</si>
  <si>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</si>
  <si>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</si>
  <si>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</si>
  <si>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</si>
  <si>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</si>
  <si>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</si>
  <si>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</si>
  <si>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</si>
  <si>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</si>
  <si>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</si>
  <si>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</si>
  <si>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</si>
  <si>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</si>
  <si>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</si>
  <si>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</si>
  <si>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</si>
  <si>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</si>
  <si>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</si>
  <si>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</si>
  <si>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</si>
  <si>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</si>
  <si>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</si>
  <si>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</si>
  <si>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</si>
  <si>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</si>
  <si>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</si>
  <si>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</si>
  <si>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</si>
  <si>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</si>
  <si>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</si>
  <si>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</si>
  <si>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</si>
  <si>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</si>
  <si>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</si>
  <si>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</si>
  <si>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</si>
  <si>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</si>
  <si>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</si>
  <si>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</si>
  <si>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</si>
  <si>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</si>
  <si>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</si>
  <si>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</si>
  <si>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</si>
  <si>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</si>
  <si>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</si>
  <si>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</si>
  <si>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</si>
  <si>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</si>
  <si>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</si>
  <si>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</si>
  <si>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</si>
  <si>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</si>
  <si>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</si>
  <si>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</si>
  <si>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</si>
  <si>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</si>
  <si>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</si>
  <si>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</si>
  <si>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</si>
  <si>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</si>
  <si>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</si>
  <si>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</si>
  <si>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</si>
  <si>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</si>
  <si>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</si>
  <si>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</si>
  <si>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</si>
  <si>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</si>
  <si>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</si>
  <si>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</si>
  <si>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</si>
  <si>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</si>
  <si>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</si>
  <si>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</si>
  <si>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</si>
  <si>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</si>
  <si>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</si>
  <si>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</si>
  <si>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</si>
  <si>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</si>
  <si>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</si>
  <si>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</si>
  <si>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</si>
  <si>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</si>
  <si>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</si>
  <si>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</si>
  <si>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</si>
  <si>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</si>
  <si>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</si>
  <si>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</si>
  <si>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</si>
  <si>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</si>
  <si>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</si>
  <si>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</si>
  <si>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</si>
  <si>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</si>
  <si>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</si>
  <si>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</si>
  <si>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Column1</t>
  </si>
  <si>
    <t>value_2</t>
  </si>
  <si>
    <t>value_1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</si>
</sst>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9" fillId="0" borderId="10" xfId="0" applyFont="1" applyBorder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bottom style="thin">
          <color indexed="64"/>
        </bottom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3"/>
      <tableStyleElement type="headerRow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342551-9F31-4CAB-A884-6C4A3778A6B8}" name="Table1" displayName="Table1" ref="M8:N18" totalsRowShown="0" dataDxfId="18" tableBorderDxfId="21">
  <autoFilter ref="M8:N18" xr:uid="{44342551-9F31-4CAB-A884-6C4A3778A6B8}"/>
  <tableColumns count="2">
    <tableColumn id="1" xr3:uid="{05A01DF1-4AB9-4DDD-86F3-6C0042AA4409}" name="Table_B" dataDxfId="20"/>
    <tableColumn id="2" xr3:uid="{29061E7D-E3D8-48D9-BDC6-DC082BC28872}" name="Column1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2EEAB5-E33A-4737-9D6F-7EEDC019EF2C}" name="Table2" displayName="Table2" ref="A9:K18" totalsRowShown="0" headerRowDxfId="4" dataDxfId="5" tableBorderDxfId="17">
  <autoFilter ref="A9:K18" xr:uid="{F22EEAB5-E33A-4737-9D6F-7EEDC019EF2C}"/>
  <tableColumns count="11">
    <tableColumn id="1" xr3:uid="{C643C5C3-FD91-421C-A8C5-1230F492A0AE}" name="Column1" dataDxfId="16"/>
    <tableColumn id="2" xr3:uid="{1AA8CCF6-F17E-42AC-B12E-DF35188E10D5}" name="A" dataDxfId="15"/>
    <tableColumn id="3" xr3:uid="{F2AC75F6-0803-4481-92AE-A3E46841BC35}" name="B" dataDxfId="14"/>
    <tableColumn id="4" xr3:uid="{E9C4983D-435A-43E6-9B80-A1A26C76EE62}" name="C" dataDxfId="13"/>
    <tableColumn id="5" xr3:uid="{7FF21DBB-7858-45D0-80DF-F220241F9721}" name="D" dataDxfId="12"/>
    <tableColumn id="6" xr3:uid="{01A1691E-3F29-4156-B481-C75E6A9FEB79}" name="E" dataDxfId="11"/>
    <tableColumn id="7" xr3:uid="{AE3591EB-994A-4281-808E-D0CA1E07B67B}" name="F" dataDxfId="10"/>
    <tableColumn id="8" xr3:uid="{96BEC32A-BBB6-4AAF-B6DE-B61D092ECF4C}" name="G" dataDxfId="9"/>
    <tableColumn id="9" xr3:uid="{52550F6A-E32B-4E33-B79A-D23656533B35}" name="H" dataDxfId="8"/>
    <tableColumn id="10" xr3:uid="{EF290B4D-C477-42D0-9A21-033649BE0AF8}" name="I" dataDxfId="7"/>
    <tableColumn id="11" xr3:uid="{716267DC-9D3D-471C-BCCF-CD4F2B66A644}" name="value" dataDxfId="6">
      <calculatedColumnFormula>SUM(B10:J10)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="119" zoomScaleNormal="100" workbookViewId="0">
      <selection activeCell="B14" sqref="B14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4" t="s">
        <v>172</v>
      </c>
      <c r="B9" s="24" t="s">
        <v>170</v>
      </c>
    </row>
    <row r="10" spans="1:3" x14ac:dyDescent="0.3">
      <c r="A10" s="33" t="s">
        <v>173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171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topLeftCell="H1" zoomScale="69" zoomScaleNormal="100" workbookViewId="0">
      <pane ySplit="1" topLeftCell="A2" activePane="bottomLeft" state="frozen"/>
      <selection pane="bottomLeft" activeCell="V2" sqref="V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25" width="12.5546875" style="1" customWidth="1"/>
    <col min="26" max="16384" width="9" style="1"/>
  </cols>
  <sheetData>
    <row r="1" spans="1:25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106</v>
      </c>
    </row>
    <row r="2" spans="1:25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  <c r="Y2" s="25"/>
    </row>
    <row r="3" spans="1:25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  <c r="Y3" s="25"/>
    </row>
    <row r="4" spans="1:25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  <c r="Y4" s="25"/>
    </row>
    <row r="5" spans="1:25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  <c r="Y5" s="25"/>
    </row>
    <row r="6" spans="1:25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  <c r="Y6" s="25"/>
    </row>
    <row r="7" spans="1:25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  <c r="Y7" s="25"/>
    </row>
    <row r="8" spans="1:25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  <c r="Y8" s="25"/>
    </row>
    <row r="9" spans="1:25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  <c r="Y9" s="25"/>
    </row>
    <row r="10" spans="1:25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  <c r="Y10" s="25"/>
    </row>
    <row r="11" spans="1:25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  <c r="Y11" s="25"/>
    </row>
    <row r="12" spans="1:25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  <c r="Y12" s="25"/>
    </row>
    <row r="13" spans="1:25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  <c r="Y13" s="25"/>
    </row>
    <row r="14" spans="1:25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  <c r="Y14" s="25"/>
    </row>
    <row r="15" spans="1:25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  <c r="Y15" s="25"/>
    </row>
    <row r="16" spans="1:25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  <c r="Y16" s="25"/>
    </row>
    <row r="17" spans="1:25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  <c r="Y17" s="25"/>
    </row>
    <row r="18" spans="1:25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  <c r="Y18" s="25"/>
    </row>
    <row r="19" spans="1:25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  <c r="Y19" s="25"/>
    </row>
    <row r="20" spans="1:25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  <c r="Y20" s="25"/>
    </row>
    <row r="21" spans="1:25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  <c r="Y21" s="25"/>
    </row>
    <row r="22" spans="1:25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  <c r="Y22" s="25"/>
    </row>
    <row r="23" spans="1:25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  <c r="Y23" s="25"/>
    </row>
    <row r="24" spans="1:25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  <c r="Y24" s="25"/>
    </row>
    <row r="25" spans="1:25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  <c r="Y25" s="25"/>
    </row>
    <row r="26" spans="1:25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  <c r="Y26" s="25"/>
    </row>
    <row r="27" spans="1:25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  <c r="Y27" s="25"/>
    </row>
    <row r="28" spans="1:25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  <c r="Y28" s="25"/>
    </row>
    <row r="29" spans="1:25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  <c r="Y29" s="25"/>
    </row>
    <row r="30" spans="1:25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  <c r="Y30" s="25"/>
    </row>
    <row r="31" spans="1:25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  <c r="Y31" s="25"/>
    </row>
    <row r="32" spans="1:25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  <c r="Y32" s="25"/>
    </row>
    <row r="33" spans="1:25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  <c r="Y33" s="25"/>
    </row>
    <row r="34" spans="1:25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  <c r="Y34" s="25"/>
    </row>
    <row r="35" spans="1:25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  <c r="Y35" s="25"/>
    </row>
    <row r="36" spans="1:25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  <c r="Y36" s="25"/>
    </row>
    <row r="37" spans="1:25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  <c r="Y37" s="25"/>
    </row>
    <row r="38" spans="1:25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  <c r="Y38" s="25"/>
    </row>
    <row r="39" spans="1:25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  <c r="Y39" s="25"/>
    </row>
    <row r="40" spans="1:25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  <c r="Y40" s="25"/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="114" zoomScaleNormal="100" workbookViewId="0">
      <selection activeCell="D5" sqref="D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2" t="s">
        <v>105</v>
      </c>
      <c r="D5" s="1">
        <f ca="1">SUMIF(Dataset!H2:H40,"&gt;20",Dataset!H15:H40)</f>
        <v>850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4" zoomScale="93" zoomScaleNormal="100" workbookViewId="0">
      <selection activeCell="I24" sqref="I24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165</v>
      </c>
    </row>
    <row r="2" spans="1:7" s="39" customFormat="1" ht="21" x14ac:dyDescent="0.4">
      <c r="B2" s="39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163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1">
        <f>VLOOKUP(A6,Dataset!$A$2:$X$40,7,0)</f>
        <v>2.7</v>
      </c>
      <c r="C6" s="11">
        <f>VLOOKUP(A6,Dataset!$A$2:$X$40,14,0)</f>
        <v>7.6</v>
      </c>
      <c r="D6" s="11">
        <f>VLOOKUP(A6,Dataset!$A$2:$X$40,17,0)</f>
        <v>3.6</v>
      </c>
      <c r="E6" s="11">
        <f>VLOOKUP(A6,Dataset!$A$2:$X$40,19,0)</f>
        <v>7.6</v>
      </c>
      <c r="F6" s="8">
        <f>VLOOKUP(A6,Dataset!$A$2:$X$40,21,0)</f>
        <v>3.6</v>
      </c>
    </row>
    <row r="7" spans="1:7" ht="14.4" x14ac:dyDescent="0.3">
      <c r="A7" s="7" t="s">
        <v>4</v>
      </c>
      <c r="B7" s="11">
        <f>VLOOKUP(A7,Dataset!$A$2:$X$40,7,0)</f>
        <v>2.7</v>
      </c>
      <c r="C7" s="11">
        <f>VLOOKUP(A7,Dataset!$A$2:$X$40,14,0)</f>
        <v>7.6</v>
      </c>
      <c r="D7" s="11">
        <f>VLOOKUP(A7,Dataset!$A$2:$X$40,17,0)</f>
        <v>3.6</v>
      </c>
      <c r="E7" s="11">
        <f>VLOOKUP(A7,Dataset!$A$2:$X$40,19,0)</f>
        <v>7.6</v>
      </c>
      <c r="F7" s="8">
        <f>VLOOKUP(A7,Dataset!$A$2:$X$40,21,0)</f>
        <v>3.6</v>
      </c>
    </row>
    <row r="8" spans="1:7" ht="14.4" x14ac:dyDescent="0.3">
      <c r="A8" s="7" t="s">
        <v>7</v>
      </c>
      <c r="B8" s="11">
        <f>VLOOKUP(A8,Dataset!$A$2:$X$40,7,0)</f>
        <v>3.6</v>
      </c>
      <c r="C8" s="11">
        <f>VLOOKUP(A8,Dataset!$A$2:$X$40,14,0)</f>
        <v>11.1</v>
      </c>
      <c r="D8" s="11">
        <f>VLOOKUP(A8,Dataset!$A$2:$X$40,17,0)</f>
        <v>5.4</v>
      </c>
      <c r="E8" s="11">
        <f>VLOOKUP(A8,Dataset!$A$2:$X$40,19,0)</f>
        <v>11.1</v>
      </c>
      <c r="F8" s="8">
        <f>VLOOKUP(A8,Dataset!$A$2:$X$40,21,0)</f>
        <v>5.4</v>
      </c>
    </row>
    <row r="9" spans="1:7" ht="14.4" x14ac:dyDescent="0.3">
      <c r="A9" s="7" t="s">
        <v>8</v>
      </c>
      <c r="B9" s="11">
        <f>VLOOKUP(A9,Dataset!$A$2:$X$40,7,0)</f>
        <v>4.9000000000000004</v>
      </c>
      <c r="C9" s="11">
        <f>VLOOKUP(A9,Dataset!$A$2:$X$40,14,0)</f>
        <v>13.3</v>
      </c>
      <c r="D9" s="11">
        <f>VLOOKUP(A9,Dataset!$A$2:$X$40,17,0)</f>
        <v>6.6</v>
      </c>
      <c r="E9" s="11">
        <f>VLOOKUP(A9,Dataset!$A$2:$X$40,19,0)</f>
        <v>13.3</v>
      </c>
      <c r="F9" s="8">
        <f>VLOOKUP(A9,Dataset!$A$2:$X$40,21,0)</f>
        <v>6.6</v>
      </c>
    </row>
    <row r="10" spans="1:7" ht="14.4" x14ac:dyDescent="0.3">
      <c r="A10" s="7" t="s">
        <v>11</v>
      </c>
      <c r="B10" s="11">
        <f>VLOOKUP(A10,Dataset!$A$2:$X$40,7,0)</f>
        <v>9.4</v>
      </c>
      <c r="C10" s="11">
        <f>VLOOKUP(A10,Dataset!$A$2:$X$40,14,0)</f>
        <v>28.3</v>
      </c>
      <c r="D10" s="11">
        <f>VLOOKUP(A10,Dataset!$A$2:$X$40,17,0)</f>
        <v>13.8</v>
      </c>
      <c r="E10" s="11">
        <f>VLOOKUP(A10,Dataset!$A$2:$X$40,19,0)</f>
        <v>28.3</v>
      </c>
      <c r="F10" s="8">
        <f>VLOOKUP(A10,Dataset!$A$2:$X$40,21,0)</f>
        <v>13.8</v>
      </c>
    </row>
    <row r="11" spans="1:7" ht="14.4" x14ac:dyDescent="0.3">
      <c r="A11" s="7" t="s">
        <v>12</v>
      </c>
      <c r="B11" s="11">
        <f>VLOOKUP(A11,Dataset!$A$2:$X$40,7,0)</f>
        <v>11.6</v>
      </c>
      <c r="C11" s="11">
        <f>VLOOKUP(A11,Dataset!$A$2:$X$40,14,0)</f>
        <v>35.200000000000003</v>
      </c>
      <c r="D11" s="11">
        <f>VLOOKUP(A11,Dataset!$A$2:$X$40,17,0)</f>
        <v>17.3</v>
      </c>
      <c r="E11" s="11">
        <f>VLOOKUP(A11,Dataset!$A$2:$X$40,19,0)</f>
        <v>35.200000000000003</v>
      </c>
      <c r="F11" s="8">
        <f>VLOOKUP(A11,Dataset!$A$2:$X$40,21,0)</f>
        <v>17.3</v>
      </c>
    </row>
    <row r="12" spans="1:7" ht="14.4" x14ac:dyDescent="0.3">
      <c r="A12" s="7" t="s">
        <v>14</v>
      </c>
      <c r="B12" s="11">
        <f>VLOOKUP(A12,Dataset!$A$2:$X$40,7,0)</f>
        <v>18.399999999999999</v>
      </c>
      <c r="C12" s="11">
        <f>VLOOKUP(A12,Dataset!$A$2:$X$40,14,0)</f>
        <v>55.6</v>
      </c>
      <c r="D12" s="11">
        <f>VLOOKUP(A12,Dataset!$A$2:$X$40,17,0)</f>
        <v>27.5</v>
      </c>
      <c r="E12" s="11">
        <f>VLOOKUP(A12,Dataset!$A$2:$X$40,19,0)</f>
        <v>55.6</v>
      </c>
      <c r="F12" s="8">
        <f>VLOOKUP(A12,Dataset!$A$2:$X$40,21,0)</f>
        <v>27.5</v>
      </c>
    </row>
    <row r="13" spans="1:7" ht="14.4" x14ac:dyDescent="0.3">
      <c r="A13" s="7" t="s">
        <v>15</v>
      </c>
      <c r="B13" s="11">
        <f>VLOOKUP(A13,Dataset!$A$2:$X$40,7,0)</f>
        <v>0</v>
      </c>
      <c r="C13" s="11">
        <f>VLOOKUP(A13,Dataset!$A$2:$X$40,14,0)</f>
        <v>0</v>
      </c>
      <c r="D13" s="11">
        <f>VLOOKUP(A13,Dataset!$A$2:$X$40,17,0)</f>
        <v>0</v>
      </c>
      <c r="E13" s="11">
        <f>VLOOKUP(A13,Dataset!$A$2:$X$40,19,0)</f>
        <v>0</v>
      </c>
      <c r="F13" s="8">
        <f>VLOOKUP(A13,Dataset!$A$2:$X$40,21,0)</f>
        <v>0</v>
      </c>
    </row>
    <row r="14" spans="1:7" ht="14.4" x14ac:dyDescent="0.3">
      <c r="A14" s="7" t="s">
        <v>16</v>
      </c>
      <c r="B14" s="11">
        <f>VLOOKUP(A14,Dataset!$A$2:$X$40,7,0)</f>
        <v>21.9</v>
      </c>
      <c r="C14" s="11">
        <f>VLOOKUP(A14,Dataset!$A$2:$X$40,14,0)</f>
        <v>61.5</v>
      </c>
      <c r="D14" s="11">
        <f>VLOOKUP(A14,Dataset!$A$2:$X$40,17,0)</f>
        <v>32.1</v>
      </c>
      <c r="E14" s="11">
        <f>VLOOKUP(A14,Dataset!$A$2:$X$40,19,0)</f>
        <v>61.5</v>
      </c>
      <c r="F14" s="8">
        <f>VLOOKUP(A14,Dataset!$A$2:$X$40,21,0)</f>
        <v>32.1</v>
      </c>
    </row>
    <row r="15" spans="1:7" ht="14.4" x14ac:dyDescent="0.3">
      <c r="A15" s="7" t="s">
        <v>18</v>
      </c>
      <c r="B15" s="11">
        <f>VLOOKUP(A15,Dataset!$A$2:$X$40,7,0)</f>
        <v>26.8</v>
      </c>
      <c r="C15" s="11">
        <f>VLOOKUP(A15,Dataset!$A$2:$X$40,14,0)</f>
        <v>79.599999999999994</v>
      </c>
      <c r="D15" s="11">
        <f>VLOOKUP(A15,Dataset!$A$2:$X$40,17,0)</f>
        <v>39.299999999999997</v>
      </c>
      <c r="E15" s="11">
        <f>VLOOKUP(A15,Dataset!$A$2:$X$40,19,0)</f>
        <v>79.599999999999994</v>
      </c>
      <c r="F15" s="8">
        <f>VLOOKUP(A15,Dataset!$A$2:$X$40,21,0)</f>
        <v>39.299999999999997</v>
      </c>
    </row>
    <row r="16" spans="1:7" ht="14.4" x14ac:dyDescent="0.3">
      <c r="A16" s="7" t="s">
        <v>20</v>
      </c>
      <c r="B16" s="11">
        <f>VLOOKUP(A16,Dataset!$A$2:$X$40,7,0)</f>
        <v>28.5</v>
      </c>
      <c r="C16" s="11">
        <f>VLOOKUP(A16,Dataset!$A$2:$X$40,14,0)</f>
        <v>85.4</v>
      </c>
      <c r="D16" s="11">
        <f>VLOOKUP(A16,Dataset!$A$2:$X$40,17,0)</f>
        <v>42.3</v>
      </c>
      <c r="E16" s="11">
        <f>VLOOKUP(A16,Dataset!$A$2:$X$40,19,0)</f>
        <v>85.4</v>
      </c>
      <c r="F16" s="8">
        <f>VLOOKUP(A16,Dataset!$A$2:$X$40,21,0)</f>
        <v>42.3</v>
      </c>
    </row>
    <row r="17" spans="1:6" ht="14.4" x14ac:dyDescent="0.3">
      <c r="A17" s="7" t="s">
        <v>22</v>
      </c>
      <c r="B17" s="11">
        <f>VLOOKUP(A17,Dataset!$A$2:$X$40,7,0)</f>
        <v>30.7</v>
      </c>
      <c r="C17" s="11">
        <f>VLOOKUP(A17,Dataset!$A$2:$X$40,14,0)</f>
        <v>92.1</v>
      </c>
      <c r="D17" s="11">
        <f>VLOOKUP(A17,Dataset!$A$2:$X$40,17,0)</f>
        <v>45.5</v>
      </c>
      <c r="E17" s="11">
        <f>VLOOKUP(A17,Dataset!$A$2:$X$40,19,0)</f>
        <v>92.1</v>
      </c>
      <c r="F17" s="8">
        <f>VLOOKUP(A17,Dataset!$A$2:$X$40,21,0)</f>
        <v>45.5</v>
      </c>
    </row>
    <row r="18" spans="1:6" ht="14.4" x14ac:dyDescent="0.3">
      <c r="A18" s="7" t="s">
        <v>23</v>
      </c>
      <c r="B18" s="11">
        <f>VLOOKUP(A18,Dataset!$A$2:$X$40,7,0)</f>
        <v>33.799999999999997</v>
      </c>
      <c r="C18" s="11">
        <f>VLOOKUP(A18,Dataset!$A$2:$X$40,14,0)</f>
        <v>101.3</v>
      </c>
      <c r="D18" s="11">
        <f>VLOOKUP(A18,Dataset!$A$2:$X$40,17,0)</f>
        <v>50.1</v>
      </c>
      <c r="E18" s="11">
        <f>VLOOKUP(A18,Dataset!$A$2:$X$40,19,0)</f>
        <v>101.3</v>
      </c>
      <c r="F18" s="8">
        <f>VLOOKUP(A18,Dataset!$A$2:$X$40,21,0)</f>
        <v>50.1</v>
      </c>
    </row>
    <row r="19" spans="1:6" ht="14.4" x14ac:dyDescent="0.3">
      <c r="A19" s="7" t="s">
        <v>24</v>
      </c>
      <c r="B19" s="11">
        <f>VLOOKUP(A19,Dataset!$A$2:$X$40,7,0)</f>
        <v>34.700000000000003</v>
      </c>
      <c r="C19" s="11">
        <f>VLOOKUP(A19,Dataset!$A$2:$X$40,14,0)</f>
        <v>106.1</v>
      </c>
      <c r="D19" s="11">
        <f>VLOOKUP(A19,Dataset!$A$2:$X$40,17,0)</f>
        <v>52.3</v>
      </c>
      <c r="E19" s="11">
        <f>VLOOKUP(A19,Dataset!$A$2:$X$40,19,0)</f>
        <v>106.1</v>
      </c>
      <c r="F19" s="8">
        <f>VLOOKUP(A19,Dataset!$A$2:$X$40,21,0)</f>
        <v>52.3</v>
      </c>
    </row>
    <row r="20" spans="1:6" ht="14.4" x14ac:dyDescent="0.3">
      <c r="A20" s="7" t="s">
        <v>28</v>
      </c>
      <c r="B20" s="11">
        <f>VLOOKUP(A20,Dataset!$A$2:$X$40,7,0)</f>
        <v>0</v>
      </c>
      <c r="C20" s="11">
        <f>VLOOKUP(A20,Dataset!$A$2:$X$40,14,0)</f>
        <v>0</v>
      </c>
      <c r="D20" s="11">
        <f>VLOOKUP(A20,Dataset!$A$2:$X$40,17,0)</f>
        <v>0</v>
      </c>
      <c r="E20" s="11">
        <f>VLOOKUP(A20,Dataset!$A$2:$X$40,19,0)</f>
        <v>0</v>
      </c>
      <c r="F20" s="8">
        <f>VLOOKUP(A20,Dataset!$A$2:$X$40,21,0)</f>
        <v>0</v>
      </c>
    </row>
    <row r="21" spans="1:6" ht="14.4" x14ac:dyDescent="0.3">
      <c r="A21" s="7" t="s">
        <v>57</v>
      </c>
      <c r="B21" s="11">
        <f>VLOOKUP(A21,Dataset!$A$2:$X$40,7,0)</f>
        <v>41.3</v>
      </c>
      <c r="C21" s="11">
        <f>VLOOKUP(A21,Dataset!$A$2:$X$40,14,0)</f>
        <v>124.4</v>
      </c>
      <c r="D21" s="11">
        <f>VLOOKUP(A21,Dataset!$A$2:$X$40,17,0)</f>
        <v>61.4</v>
      </c>
      <c r="E21" s="11">
        <f>VLOOKUP(A21,Dataset!$A$2:$X$40,19,0)</f>
        <v>124.4</v>
      </c>
      <c r="F21" s="8">
        <f>VLOOKUP(A21,Dataset!$A$2:$X$40,21,0)</f>
        <v>61.4</v>
      </c>
    </row>
    <row r="22" spans="1:6" ht="14.4" x14ac:dyDescent="0.3">
      <c r="A22" s="7" t="s">
        <v>58</v>
      </c>
      <c r="B22" s="11">
        <f>VLOOKUP(A22,Dataset!$A$2:$X$40,7,0)</f>
        <v>-1</v>
      </c>
      <c r="C22" s="11">
        <f>VLOOKUP(A22,Dataset!$A$2:$X$40,14,0)</f>
        <v>-1</v>
      </c>
      <c r="D22" s="11">
        <f>VLOOKUP(A22,Dataset!$A$2:$X$40,17,0)</f>
        <v>-1</v>
      </c>
      <c r="E22" s="11">
        <f>VLOOKUP(A22,Dataset!$A$2:$X$40,19,0)</f>
        <v>-1</v>
      </c>
      <c r="F22" s="8">
        <f>VLOOKUP(A22,Dataset!$A$2:$X$40,21,0)</f>
        <v>-1</v>
      </c>
    </row>
    <row r="23" spans="1:6" ht="14.4" x14ac:dyDescent="0.3">
      <c r="A23" s="7" t="s">
        <v>31</v>
      </c>
      <c r="B23" s="11">
        <f>VLOOKUP(A23,Dataset!$A$2:$X$40,7,0)</f>
        <v>45</v>
      </c>
      <c r="C23" s="11">
        <f>VLOOKUP(A23,Dataset!$A$2:$X$40,14,0)</f>
        <v>133.4</v>
      </c>
      <c r="D23" s="11">
        <f>VLOOKUP(A23,Dataset!$A$2:$X$40,17,0)</f>
        <v>65.900000000000006</v>
      </c>
      <c r="E23" s="11">
        <f>VLOOKUP(A23,Dataset!$A$2:$X$40,19,0)</f>
        <v>133.4</v>
      </c>
      <c r="F23" s="8">
        <f>VLOOKUP(A23,Dataset!$A$2:$X$40,21,0)</f>
        <v>65.900000000000006</v>
      </c>
    </row>
    <row r="24" spans="1:6" ht="14.4" x14ac:dyDescent="0.3">
      <c r="A24" s="7" t="s">
        <v>32</v>
      </c>
      <c r="B24" s="11">
        <f>VLOOKUP(A24,Dataset!$A$2:$X$40,7,0)</f>
        <v>-1</v>
      </c>
      <c r="C24" s="11">
        <f>VLOOKUP(A24,Dataset!$A$2:$X$40,14,0)</f>
        <v>-1</v>
      </c>
      <c r="D24" s="11">
        <f>VLOOKUP(A24,Dataset!$A$2:$X$40,17,0)</f>
        <v>-1</v>
      </c>
      <c r="E24" s="11">
        <f>VLOOKUP(A24,Dataset!$A$2:$X$40,19,0)</f>
        <v>-1</v>
      </c>
      <c r="F24" s="8">
        <f>VLOOKUP(A24,Dataset!$A$2:$X$40,21,0)</f>
        <v>-1</v>
      </c>
    </row>
    <row r="25" spans="1:6" ht="14.4" x14ac:dyDescent="0.3">
      <c r="A25" s="7" t="s">
        <v>34</v>
      </c>
      <c r="B25" s="11">
        <f>VLOOKUP(A25,Dataset!$A$2:$X$40,7,0)</f>
        <v>43.3</v>
      </c>
      <c r="C25" s="11">
        <f>VLOOKUP(A25,Dataset!$A$2:$X$40,14,0)</f>
        <v>128.6</v>
      </c>
      <c r="D25" s="11">
        <f>VLOOKUP(A25,Dataset!$A$2:$X$40,17,0)</f>
        <v>63.6</v>
      </c>
      <c r="E25" s="11">
        <f>VLOOKUP(A25,Dataset!$A$2:$X$40,19,0)</f>
        <v>128.6</v>
      </c>
      <c r="F25" s="8">
        <f>VLOOKUP(A25,Dataset!$A$2:$X$40,21,0)</f>
        <v>63.6</v>
      </c>
    </row>
    <row r="26" spans="1:6" ht="14.4" x14ac:dyDescent="0.3">
      <c r="A26" s="7" t="s">
        <v>37</v>
      </c>
      <c r="B26" s="11">
        <f>VLOOKUP(A26,Dataset!$A$2:$X$40,7,0)</f>
        <v>49.1</v>
      </c>
      <c r="C26" s="11">
        <f>VLOOKUP(A26,Dataset!$A$2:$X$40,14,0)</f>
        <v>146.80000000000001</v>
      </c>
      <c r="D26" s="11">
        <f>VLOOKUP(A26,Dataset!$A$2:$X$40,17,0)</f>
        <v>72.8</v>
      </c>
      <c r="E26" s="11">
        <f>VLOOKUP(A26,Dataset!$A$2:$X$40,19,0)</f>
        <v>146.80000000000001</v>
      </c>
      <c r="F26" s="8">
        <f>VLOOKUP(A26,Dataset!$A$2:$X$40,21,0)</f>
        <v>72.8</v>
      </c>
    </row>
    <row r="27" spans="1:6" ht="14.4" x14ac:dyDescent="0.3">
      <c r="A27" s="7" t="s">
        <v>39</v>
      </c>
      <c r="B27" s="11">
        <f>VLOOKUP(A27,Dataset!$A$2:$X$40,7,0)</f>
        <v>51.8</v>
      </c>
      <c r="C27" s="11">
        <f>VLOOKUP(A27,Dataset!$A$2:$X$40,14,0)</f>
        <v>156.4</v>
      </c>
      <c r="D27" s="11">
        <f>VLOOKUP(A27,Dataset!$A$2:$X$40,17,0)</f>
        <v>77.2</v>
      </c>
      <c r="E27" s="11">
        <f>VLOOKUP(A27,Dataset!$A$2:$X$40,19,0)</f>
        <v>156.4</v>
      </c>
      <c r="F27" s="8">
        <f>VLOOKUP(A27,Dataset!$A$2:$X$40,21,0)</f>
        <v>77.2</v>
      </c>
    </row>
    <row r="28" spans="1:6" ht="14.4" x14ac:dyDescent="0.3">
      <c r="A28" s="17" t="s">
        <v>82</v>
      </c>
      <c r="B28"/>
      <c r="C28"/>
      <c r="D28"/>
      <c r="E28"/>
      <c r="F28"/>
    </row>
    <row r="29" spans="1:6" ht="14.4" x14ac:dyDescent="0.3">
      <c r="A29" s="17" t="s">
        <v>83</v>
      </c>
      <c r="B29"/>
      <c r="C29"/>
      <c r="D29"/>
      <c r="E29"/>
      <c r="F29"/>
    </row>
    <row r="30" spans="1:6" ht="14.4" x14ac:dyDescent="0.3">
      <c r="A30" s="17" t="s">
        <v>84</v>
      </c>
      <c r="B30"/>
      <c r="C30"/>
      <c r="D30"/>
      <c r="E30"/>
      <c r="F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G11" sqref="G11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1" t="s">
        <v>53</v>
      </c>
      <c r="B5" s="38"/>
    </row>
    <row r="6" spans="1:10" ht="18" x14ac:dyDescent="0.35">
      <c r="A6" s="41" t="s">
        <v>154</v>
      </c>
      <c r="B6" s="38"/>
    </row>
    <row r="7" spans="1:10" ht="18" x14ac:dyDescent="0.35">
      <c r="A7" s="41"/>
      <c r="B7" s="38"/>
    </row>
    <row r="9" spans="1:10" ht="23.4" x14ac:dyDescent="0.45">
      <c r="A9" s="16" t="s">
        <v>166</v>
      </c>
      <c r="I9" s="2"/>
      <c r="J9" s="2"/>
    </row>
    <row r="10" spans="1:10" x14ac:dyDescent="0.3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9" t="s">
        <v>122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6" t="s">
        <v>163</v>
      </c>
    </row>
    <row r="15" spans="1:10" x14ac:dyDescent="0.3">
      <c r="A15" s="13" t="s">
        <v>103</v>
      </c>
      <c r="B15" s="15" t="s">
        <v>49</v>
      </c>
      <c r="C15" s="14" t="s">
        <v>50</v>
      </c>
      <c r="D15" s="15" t="s">
        <v>51</v>
      </c>
      <c r="E15" s="14" t="s">
        <v>52</v>
      </c>
      <c r="F15" s="15" t="s">
        <v>54</v>
      </c>
    </row>
    <row r="16" spans="1:10" x14ac:dyDescent="0.3">
      <c r="A16" s="7" t="s">
        <v>122</v>
      </c>
      <c r="B16" s="11" t="str">
        <f>LEFT(A16,5)</f>
        <v>20000</v>
      </c>
      <c r="C16" s="1" t="str">
        <f>MID(A16,FIND("-",A16)+1,6)</f>
        <v>Monday</v>
      </c>
      <c r="D16" s="11" t="str">
        <f>MID(A16,FIND("y-",A16)+2,1)</f>
        <v>0</v>
      </c>
      <c r="E16" s="1" t="str">
        <f>MID(A16,FIND("-0-",A16)+3,6)</f>
        <v>Sunday</v>
      </c>
      <c r="F16" s="11" t="str">
        <f>RIGHT(A16,2)</f>
        <v>24</v>
      </c>
    </row>
    <row r="17" spans="1:6" x14ac:dyDescent="0.3">
      <c r="A17" s="7" t="s">
        <v>123</v>
      </c>
      <c r="B17" s="11" t="str">
        <f t="shared" ref="B17:B54" si="0">LEFT(A17,5)</f>
        <v>20002</v>
      </c>
      <c r="C17" s="1" t="str">
        <f t="shared" ref="C17:C54" si="1">MID(A17,FIND("-",A17)+1,6)</f>
        <v>Monday</v>
      </c>
      <c r="D17" s="11" t="str">
        <f t="shared" ref="D17:D54" si="2">MID(A17,FIND("y-",A17)+2,1)</f>
        <v>0</v>
      </c>
      <c r="E17" s="1" t="str">
        <f t="shared" ref="E17:E54" si="3">MID(A17,FIND("-0-",A17)+3,6)</f>
        <v>Sunday</v>
      </c>
      <c r="F17" s="11" t="str">
        <f t="shared" ref="F17:F54" si="4">RIGHT(A17,2)</f>
        <v>24</v>
      </c>
    </row>
    <row r="18" spans="1:6" x14ac:dyDescent="0.3">
      <c r="A18" s="7" t="s">
        <v>124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3">
      <c r="A19" s="7" t="s">
        <v>125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3">
      <c r="A20" s="7" t="s">
        <v>126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3">
      <c r="A21" s="7" t="s">
        <v>127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3">
      <c r="A22" s="7" t="s">
        <v>128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3">
      <c r="A23" s="7" t="s">
        <v>129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3">
      <c r="A24" s="7" t="s">
        <v>130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3">
      <c r="A25" s="7" t="s">
        <v>131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3">
      <c r="A26" s="7" t="s">
        <v>132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3">
      <c r="A27" s="7" t="s">
        <v>133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3">
      <c r="A28" s="7" t="s">
        <v>134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3">
      <c r="A29" s="7" t="s">
        <v>135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3">
      <c r="A30" s="7" t="s">
        <v>136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3">
      <c r="A31" s="7" t="s">
        <v>137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3">
      <c r="A32" s="7" t="s">
        <v>138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3">
      <c r="A33" s="7" t="s">
        <v>139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3">
      <c r="A34" s="7" t="s">
        <v>140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3">
      <c r="A35" s="7" t="s">
        <v>141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3">
      <c r="A36" s="7" t="s">
        <v>142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3">
      <c r="A37" s="7" t="s">
        <v>143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3">
      <c r="A38" s="7" t="s">
        <v>144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3">
      <c r="A39" s="7" t="s">
        <v>145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3">
      <c r="A40" s="7" t="s">
        <v>146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3">
      <c r="A41" s="7" t="s">
        <v>147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3">
      <c r="A42" s="7" t="s">
        <v>148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3">
      <c r="A43" s="7" t="s">
        <v>149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3">
      <c r="A44" s="7" t="s">
        <v>150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3">
      <c r="A45" s="7" t="s">
        <v>151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3">
      <c r="A46" s="7" t="s">
        <v>113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3">
      <c r="A47" s="7" t="s">
        <v>114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3">
      <c r="A48" s="7" t="s">
        <v>115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3">
      <c r="A49" s="7" t="s">
        <v>116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3">
      <c r="A50" s="7" t="s">
        <v>117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3">
      <c r="A51" s="7" t="s">
        <v>118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3">
      <c r="A52" s="7" t="s">
        <v>119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3">
      <c r="A53" s="7" t="s">
        <v>120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3">
      <c r="A54" s="9" t="s">
        <v>121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D12" sqref="D1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0" t="s">
        <v>85</v>
      </c>
      <c r="B1" s="39" t="s">
        <v>168</v>
      </c>
    </row>
    <row r="2" spans="1:4" ht="18" x14ac:dyDescent="0.35">
      <c r="B2" s="38" t="s">
        <v>167</v>
      </c>
    </row>
    <row r="5" spans="1:4" ht="14.4" x14ac:dyDescent="0.3">
      <c r="B5" s="1" t="s">
        <v>152</v>
      </c>
    </row>
    <row r="6" spans="1:4" ht="14.4" x14ac:dyDescent="0.3">
      <c r="A6" s="3" t="s">
        <v>53</v>
      </c>
      <c r="B6" s="1"/>
    </row>
    <row r="7" spans="1:4" ht="14.4" x14ac:dyDescent="0.3">
      <c r="A7" s="3" t="s">
        <v>154</v>
      </c>
      <c r="B7" s="1"/>
    </row>
    <row r="10" spans="1:4" ht="23.4" x14ac:dyDescent="0.45">
      <c r="A10" s="16" t="s">
        <v>163</v>
      </c>
    </row>
    <row r="11" spans="1:4" ht="14.4" x14ac:dyDescent="0.3">
      <c r="A11" s="30" t="s">
        <v>86</v>
      </c>
      <c r="B11" s="15" t="s">
        <v>87</v>
      </c>
      <c r="C11" s="15" t="s">
        <v>88</v>
      </c>
    </row>
    <row r="12" spans="1:4" ht="14.4" x14ac:dyDescent="0.3">
      <c r="A12" s="30">
        <v>44927</v>
      </c>
      <c r="B12" s="15" t="s">
        <v>59</v>
      </c>
      <c r="C12" s="15">
        <v>200</v>
      </c>
      <c r="D12" s="2">
        <f>_xlfn.IFNA(IF(C12=C12,C12,""),20)</f>
        <v>200</v>
      </c>
    </row>
    <row r="13" spans="1:4" ht="14.4" x14ac:dyDescent="0.3">
      <c r="A13" s="30">
        <v>44928</v>
      </c>
      <c r="B13" s="15" t="s">
        <v>60</v>
      </c>
      <c r="C13" s="15" t="e">
        <v>#N/A</v>
      </c>
      <c r="D13" s="2">
        <f t="shared" ref="D13:D21" si="0">_xlfn.IFNA(IF(C13=C13,C13,""),20)</f>
        <v>20</v>
      </c>
    </row>
    <row r="14" spans="1:4" ht="14.4" x14ac:dyDescent="0.3">
      <c r="A14" s="30">
        <v>44929</v>
      </c>
      <c r="B14" s="15" t="s">
        <v>61</v>
      </c>
      <c r="C14" s="15">
        <v>50</v>
      </c>
      <c r="D14" s="2">
        <f t="shared" si="0"/>
        <v>50</v>
      </c>
    </row>
    <row r="15" spans="1:4" ht="14.4" x14ac:dyDescent="0.3">
      <c r="A15" s="30">
        <v>44930</v>
      </c>
      <c r="B15" s="15" t="s">
        <v>62</v>
      </c>
      <c r="C15" s="15" t="e">
        <v>#N/A</v>
      </c>
      <c r="D15" s="2">
        <f t="shared" si="0"/>
        <v>20</v>
      </c>
    </row>
    <row r="16" spans="1:4" ht="14.4" x14ac:dyDescent="0.3">
      <c r="A16" s="30">
        <v>44931</v>
      </c>
      <c r="B16" s="15" t="s">
        <v>63</v>
      </c>
      <c r="C16" s="15">
        <v>10</v>
      </c>
      <c r="D16" s="2">
        <f t="shared" si="0"/>
        <v>10</v>
      </c>
    </row>
    <row r="17" spans="1:4" ht="14.4" x14ac:dyDescent="0.3">
      <c r="A17" s="30">
        <v>44932</v>
      </c>
      <c r="B17" s="15" t="s">
        <v>155</v>
      </c>
      <c r="C17" s="15">
        <v>150</v>
      </c>
      <c r="D17" s="2">
        <f t="shared" si="0"/>
        <v>150</v>
      </c>
    </row>
    <row r="18" spans="1:4" ht="14.4" x14ac:dyDescent="0.3">
      <c r="A18" s="30">
        <v>44933</v>
      </c>
      <c r="B18" s="15" t="s">
        <v>156</v>
      </c>
      <c r="C18" s="15">
        <v>80</v>
      </c>
      <c r="D18" s="2">
        <f t="shared" si="0"/>
        <v>80</v>
      </c>
    </row>
    <row r="19" spans="1:4" ht="14.4" x14ac:dyDescent="0.3">
      <c r="A19" s="30">
        <v>44934</v>
      </c>
      <c r="B19" s="15" t="s">
        <v>157</v>
      </c>
      <c r="C19" s="15" t="e">
        <v>#N/A</v>
      </c>
      <c r="D19" s="2">
        <f t="shared" si="0"/>
        <v>20</v>
      </c>
    </row>
    <row r="20" spans="1:4" ht="14.4" x14ac:dyDescent="0.3">
      <c r="A20" s="30">
        <v>44935</v>
      </c>
      <c r="B20" s="15" t="s">
        <v>158</v>
      </c>
      <c r="C20" s="15">
        <v>30</v>
      </c>
      <c r="D20" s="2">
        <f t="shared" si="0"/>
        <v>30</v>
      </c>
    </row>
    <row r="21" spans="1:4" ht="14.4" x14ac:dyDescent="0.3">
      <c r="A21" s="30">
        <v>44936</v>
      </c>
      <c r="B21" s="15" t="s">
        <v>159</v>
      </c>
      <c r="C21" s="15" t="e">
        <v>#N/A</v>
      </c>
      <c r="D21" s="2">
        <f t="shared" si="0"/>
        <v>20</v>
      </c>
    </row>
    <row r="22" spans="1:4" ht="14.4" x14ac:dyDescent="0.3">
      <c r="B22" s="15" t="s">
        <v>160</v>
      </c>
      <c r="C22" s="23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S35"/>
  <sheetViews>
    <sheetView tabSelected="1" zoomScale="76" zoomScaleNormal="100" workbookViewId="0">
      <selection activeCell="L25" sqref="L25"/>
    </sheetView>
  </sheetViews>
  <sheetFormatPr defaultColWidth="11" defaultRowHeight="13.8" x14ac:dyDescent="0.3"/>
  <cols>
    <col min="1" max="1" width="28.21875" style="2" bestFit="1" customWidth="1"/>
    <col min="2" max="12" width="11" style="2"/>
    <col min="13" max="13" width="14" style="2" customWidth="1"/>
    <col min="14" max="16384" width="11" style="2"/>
  </cols>
  <sheetData>
    <row r="1" spans="1:19" ht="21" x14ac:dyDescent="0.4">
      <c r="A1" s="40" t="s">
        <v>98</v>
      </c>
      <c r="B1" s="39" t="s">
        <v>176</v>
      </c>
    </row>
    <row r="3" spans="1:19" ht="14.4" x14ac:dyDescent="0.3">
      <c r="B3" s="1" t="s">
        <v>152</v>
      </c>
    </row>
    <row r="4" spans="1:19" ht="18" x14ac:dyDescent="0.35">
      <c r="A4" s="41" t="s">
        <v>53</v>
      </c>
      <c r="B4" s="1"/>
    </row>
    <row r="5" spans="1:19" ht="18" x14ac:dyDescent="0.35">
      <c r="A5" s="41" t="s">
        <v>154</v>
      </c>
      <c r="B5" s="1"/>
    </row>
    <row r="6" spans="1:19" ht="14.4" x14ac:dyDescent="0.3">
      <c r="A6" s="3"/>
      <c r="B6" s="1"/>
    </row>
    <row r="8" spans="1:19" ht="23.4" x14ac:dyDescent="0.45">
      <c r="A8" s="16" t="s">
        <v>163</v>
      </c>
      <c r="M8" s="16" t="s">
        <v>164</v>
      </c>
      <c r="N8" s="2" t="s">
        <v>178</v>
      </c>
    </row>
    <row r="9" spans="1:19" ht="23.4" x14ac:dyDescent="0.45">
      <c r="A9" s="42" t="s">
        <v>178</v>
      </c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K9" s="2" t="s">
        <v>102</v>
      </c>
      <c r="M9" s="17" t="s">
        <v>43</v>
      </c>
      <c r="N9" s="17" t="s">
        <v>99</v>
      </c>
      <c r="S9" s="16"/>
    </row>
    <row r="10" spans="1:19" ht="14.4" x14ac:dyDescent="0.3">
      <c r="A10" s="42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K10" s="2">
        <f>SUM(B10:J10)</f>
        <v>2258</v>
      </c>
      <c r="M10" s="11">
        <v>10100</v>
      </c>
      <c r="N10" s="11" t="s">
        <v>89</v>
      </c>
    </row>
    <row r="11" spans="1:19" ht="14.4" x14ac:dyDescent="0.3">
      <c r="A11" s="42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K11" s="2">
        <f t="shared" ref="K11:K18" si="0">SUM(B11:J11)</f>
        <v>1698</v>
      </c>
      <c r="M11" s="11">
        <v>10102</v>
      </c>
      <c r="N11" s="11" t="s">
        <v>90</v>
      </c>
    </row>
    <row r="12" spans="1:19" ht="14.4" x14ac:dyDescent="0.3">
      <c r="A12" s="42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K12" s="2">
        <f t="shared" si="0"/>
        <v>1417</v>
      </c>
      <c r="M12" s="11">
        <v>10104</v>
      </c>
      <c r="N12" s="11" t="s">
        <v>91</v>
      </c>
    </row>
    <row r="13" spans="1:19" ht="14.4" x14ac:dyDescent="0.3">
      <c r="A13" s="42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K13" s="2">
        <f t="shared" si="0"/>
        <v>1399</v>
      </c>
      <c r="M13" s="11">
        <v>10106</v>
      </c>
      <c r="N13" s="11" t="s">
        <v>92</v>
      </c>
    </row>
    <row r="14" spans="1:19" ht="14.4" x14ac:dyDescent="0.3">
      <c r="A14" s="42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K14" s="2">
        <f t="shared" si="0"/>
        <v>1329</v>
      </c>
      <c r="M14" s="11">
        <v>10108</v>
      </c>
      <c r="N14" s="11" t="s">
        <v>93</v>
      </c>
    </row>
    <row r="15" spans="1:19" ht="14.4" x14ac:dyDescent="0.3">
      <c r="A15" s="42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K15" s="2">
        <f t="shared" si="0"/>
        <v>1379</v>
      </c>
      <c r="M15" s="11">
        <v>10110</v>
      </c>
      <c r="N15" s="11" t="s">
        <v>94</v>
      </c>
    </row>
    <row r="16" spans="1:19" ht="14.4" x14ac:dyDescent="0.3">
      <c r="A16" s="42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K16" s="2">
        <f t="shared" si="0"/>
        <v>1719</v>
      </c>
      <c r="M16" s="11">
        <v>10112</v>
      </c>
      <c r="N16" s="11" t="s">
        <v>95</v>
      </c>
    </row>
    <row r="17" spans="1:14" ht="14.4" x14ac:dyDescent="0.3">
      <c r="A17" s="42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K17" s="2">
        <f t="shared" si="0"/>
        <v>2039</v>
      </c>
      <c r="M17" s="11">
        <v>10114</v>
      </c>
      <c r="N17" s="11" t="s">
        <v>96</v>
      </c>
    </row>
    <row r="18" spans="1:14" ht="14.4" x14ac:dyDescent="0.3">
      <c r="A18" s="42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K18" s="2">
        <f t="shared" si="0"/>
        <v>2329</v>
      </c>
      <c r="M18" s="11">
        <v>10116</v>
      </c>
      <c r="N18" s="11" t="s">
        <v>97</v>
      </c>
    </row>
    <row r="21" spans="1:14" ht="23.4" x14ac:dyDescent="0.45">
      <c r="A21" s="16" t="s">
        <v>169</v>
      </c>
    </row>
    <row r="22" spans="1:14" ht="14.4" x14ac:dyDescent="0.3">
      <c r="A22" s="15" t="s">
        <v>100</v>
      </c>
      <c r="B22" s="15" t="s">
        <v>180</v>
      </c>
      <c r="C22" s="15" t="s">
        <v>101</v>
      </c>
      <c r="D22" s="15" t="s">
        <v>179</v>
      </c>
    </row>
    <row r="23" spans="1:14" ht="14.4" x14ac:dyDescent="0.3">
      <c r="A23" s="15">
        <v>10100</v>
      </c>
      <c r="B23" s="15">
        <f>VLOOKUP(VLOOKUP(A23,Table1[],2,1),Table2[],11,0)</f>
        <v>2258</v>
      </c>
      <c r="C23" s="15">
        <v>10102</v>
      </c>
      <c r="D23" s="23">
        <f>VLOOKUP(VLOOKUP(C23,Table1[],2,1),Table2[],11,0)</f>
        <v>1698</v>
      </c>
    </row>
    <row r="24" spans="1:14" ht="14.4" x14ac:dyDescent="0.3">
      <c r="A24" s="15">
        <v>10100</v>
      </c>
      <c r="B24" s="15">
        <f>VLOOKUP(VLOOKUP(A24,Table1[],2,1),Table2[],11,0)</f>
        <v>2258</v>
      </c>
      <c r="C24" s="15">
        <v>10104</v>
      </c>
      <c r="D24" s="23">
        <f>VLOOKUP(VLOOKUP(C24,Table1[],2,1),Table2[],11,0)</f>
        <v>1417</v>
      </c>
    </row>
    <row r="25" spans="1:14" ht="14.4" x14ac:dyDescent="0.3">
      <c r="A25" s="15">
        <v>10108</v>
      </c>
      <c r="B25" s="15">
        <f>VLOOKUP(VLOOKUP(A25,Table1[],2,1),Table2[],11,0)</f>
        <v>1329</v>
      </c>
      <c r="C25" s="15">
        <v>10102</v>
      </c>
      <c r="D25" s="23">
        <f>VLOOKUP(VLOOKUP(C25,Table1[],2,1),Table2[],11,0)</f>
        <v>1698</v>
      </c>
    </row>
    <row r="26" spans="1:14" ht="14.4" x14ac:dyDescent="0.3">
      <c r="A26" s="15">
        <v>10100</v>
      </c>
      <c r="B26" s="15">
        <f>VLOOKUP(VLOOKUP(A26,Table1[],2,1),Table2[],11,0)</f>
        <v>2258</v>
      </c>
      <c r="C26" s="15">
        <v>10106</v>
      </c>
      <c r="D26" s="23">
        <f>VLOOKUP(VLOOKUP(C26,Table1[],2,1),Table2[],11,0)</f>
        <v>1399</v>
      </c>
    </row>
    <row r="27" spans="1:14" ht="14.4" x14ac:dyDescent="0.3">
      <c r="A27" s="15">
        <v>10108</v>
      </c>
      <c r="B27" s="15">
        <f>VLOOKUP(VLOOKUP(A27,Table1[],2,1),Table2[],11,0)</f>
        <v>1329</v>
      </c>
      <c r="C27" s="15">
        <v>10110</v>
      </c>
      <c r="D27" s="23">
        <f>VLOOKUP(VLOOKUP(C27,Table1[],2,1),Table2[],11,0)</f>
        <v>1379</v>
      </c>
    </row>
    <row r="28" spans="1:14" ht="14.4" x14ac:dyDescent="0.3">
      <c r="A28" s="15">
        <v>10102</v>
      </c>
      <c r="B28" s="15">
        <f>VLOOKUP(VLOOKUP(A28,Table1[],2,1),Table2[],11,0)</f>
        <v>1698</v>
      </c>
      <c r="C28" s="15">
        <v>10104</v>
      </c>
      <c r="D28" s="23">
        <f>VLOOKUP(VLOOKUP(C28,Table1[],2,1),Table2[],11,0)</f>
        <v>1417</v>
      </c>
    </row>
    <row r="29" spans="1:14" ht="14.4" x14ac:dyDescent="0.3">
      <c r="A29" s="15">
        <v>10106</v>
      </c>
      <c r="B29" s="15">
        <f>VLOOKUP(VLOOKUP(A29,Table1[],2,1),Table2[],11,0)</f>
        <v>1399</v>
      </c>
      <c r="C29" s="15">
        <v>10108</v>
      </c>
      <c r="D29" s="23">
        <f>VLOOKUP(VLOOKUP(C29,Table1[],2,1),Table2[],11,0)</f>
        <v>1329</v>
      </c>
    </row>
    <row r="30" spans="1:14" ht="14.4" x14ac:dyDescent="0.3">
      <c r="A30" s="15">
        <v>10102</v>
      </c>
      <c r="B30" s="15">
        <f>VLOOKUP(VLOOKUP(A30,Table1[],2,1),Table2[],11,0)</f>
        <v>1698</v>
      </c>
      <c r="C30" s="15">
        <v>10106</v>
      </c>
      <c r="D30" s="23">
        <f>VLOOKUP(VLOOKUP(C30,Table1[],2,1),Table2[],11,0)</f>
        <v>1399</v>
      </c>
    </row>
    <row r="31" spans="1:14" ht="14.4" x14ac:dyDescent="0.3">
      <c r="A31" s="15">
        <v>10110</v>
      </c>
      <c r="B31" s="15">
        <f>VLOOKUP(VLOOKUP(A31,Table1[],2,1),Table2[],11,0)</f>
        <v>1379</v>
      </c>
      <c r="C31" s="15">
        <v>10114</v>
      </c>
      <c r="D31" s="23">
        <f>VLOOKUP(VLOOKUP(C31,Table1[],2,1),Table2[],11,0)</f>
        <v>2039</v>
      </c>
    </row>
    <row r="32" spans="1:14" ht="14.4" x14ac:dyDescent="0.3">
      <c r="A32" s="15">
        <v>10104</v>
      </c>
      <c r="B32" s="15">
        <f>VLOOKUP(VLOOKUP(A32,Table1[],2,1),Table2[],11,0)</f>
        <v>1417</v>
      </c>
      <c r="C32" s="15">
        <v>10106</v>
      </c>
      <c r="D32" s="23">
        <f>VLOOKUP(VLOOKUP(C32,Table1[],2,1),Table2[],11,0)</f>
        <v>1399</v>
      </c>
    </row>
    <row r="33" spans="1:7" ht="14.4" x14ac:dyDescent="0.3">
      <c r="A33" s="15">
        <v>10110</v>
      </c>
      <c r="B33" s="15">
        <f>VLOOKUP(VLOOKUP(A33,Table1[],2,1),Table2[],11,0)</f>
        <v>1379</v>
      </c>
      <c r="C33" s="15">
        <v>10112</v>
      </c>
      <c r="D33" s="23">
        <f>VLOOKUP(VLOOKUP(C33,Table1[],2,1),Table2[],11,0)</f>
        <v>1719</v>
      </c>
    </row>
    <row r="34" spans="1:7" ht="14.4" x14ac:dyDescent="0.3">
      <c r="A34" s="15">
        <v>10100</v>
      </c>
      <c r="B34" s="15">
        <f>VLOOKUP(VLOOKUP(A34,Table1[],2,1),Table2[],11,0)</f>
        <v>2258</v>
      </c>
      <c r="C34" s="15">
        <v>10114</v>
      </c>
      <c r="D34" s="23">
        <f>VLOOKUP(VLOOKUP(C34,Table1[],2,1),Table2[],11,0)</f>
        <v>2039</v>
      </c>
      <c r="E34"/>
      <c r="F34"/>
      <c r="G34"/>
    </row>
    <row r="35" spans="1:7" ht="14.4" x14ac:dyDescent="0.3">
      <c r="A35" s="15">
        <v>10112</v>
      </c>
      <c r="B35" s="15">
        <f>VLOOKUP(VLOOKUP(A35,Table1[],2,1),Table2[],11,0)</f>
        <v>1719</v>
      </c>
      <c r="C35" s="15">
        <v>10116</v>
      </c>
      <c r="D35" s="23">
        <f>VLOOKUP(VLOOKUP(C35,Table1[],2,1),Table2[],11,0)</f>
        <v>2329</v>
      </c>
      <c r="E35"/>
      <c r="F35"/>
      <c r="G35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avnish kumar</cp:lastModifiedBy>
  <dcterms:created xsi:type="dcterms:W3CDTF">2015-02-10T17:33:11Z</dcterms:created>
  <dcterms:modified xsi:type="dcterms:W3CDTF">2023-12-18T17:18:45Z</dcterms:modified>
</cp:coreProperties>
</file>